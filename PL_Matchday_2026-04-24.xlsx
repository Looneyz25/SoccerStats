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edbcf550914f0e6/Betting/Soccer Stats/"/>
    </mc:Choice>
  </mc:AlternateContent>
  <xr:revisionPtr revIDLastSave="3" documentId="11_5E452FB4FAA55C6434AA7518CA3CC71C060BC37E" xr6:coauthVersionLast="47" xr6:coauthVersionMax="47" xr10:uidLastSave="{738C42A2-7B0B-43AA-AB80-3D613D2C9C68}"/>
  <bookViews>
    <workbookView xWindow="-120" yWindow="-120" windowWidth="77040" windowHeight="21120" tabRatio="500" xr2:uid="{00000000-000D-0000-FFFF-FFFF00000000}"/>
  </bookViews>
  <sheets>
    <sheet name="Fixtures" sheetId="1" r:id="rId1"/>
    <sheet name="Standings" sheetId="2" r:id="rId2"/>
    <sheet name="Not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7" i="1" l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</calcChain>
</file>

<file path=xl/sharedStrings.xml><?xml version="1.0" encoding="utf-8"?>
<sst xmlns="http://schemas.openxmlformats.org/spreadsheetml/2006/main" count="122" uniqueCount="95">
  <si>
    <t>Premier League — Matchweek 34 Preview (Apr 24–25, 2026)</t>
  </si>
  <si>
    <t>Date</t>
  </si>
  <si>
    <t>Kickoff (UK)</t>
  </si>
  <si>
    <t>Home</t>
  </si>
  <si>
    <t>H Pos</t>
  </si>
  <si>
    <t>H Pts</t>
  </si>
  <si>
    <t>H Form</t>
  </si>
  <si>
    <t>Away</t>
  </si>
  <si>
    <t>A Pos</t>
  </si>
  <si>
    <t>A Pts</t>
  </si>
  <si>
    <t>A Form</t>
  </si>
  <si>
    <t>Odds 1</t>
  </si>
  <si>
    <t>Odds X</t>
  </si>
  <si>
    <t>Odds 2</t>
  </si>
  <si>
    <t>Implied 1 %</t>
  </si>
  <si>
    <t>Implied X %</t>
  </si>
  <si>
    <t>Implied 2 %</t>
  </si>
  <si>
    <t>Favorite</t>
  </si>
  <si>
    <t>Pts Gap</t>
  </si>
  <si>
    <t>Fri 24 Apr 2026</t>
  </si>
  <si>
    <t>20:00</t>
  </si>
  <si>
    <t>Sunderland</t>
  </si>
  <si>
    <t>WLWWL</t>
  </si>
  <si>
    <t>Nottingham Forest</t>
  </si>
  <si>
    <t>DDWDW</t>
  </si>
  <si>
    <t>Sat 25 Apr 2026</t>
  </si>
  <si>
    <t>12:30</t>
  </si>
  <si>
    <t>Fulham</t>
  </si>
  <si>
    <t>LDWLD</t>
  </si>
  <si>
    <t>Aston Villa</t>
  </si>
  <si>
    <t>LLLDW</t>
  </si>
  <si>
    <t>15:00</t>
  </si>
  <si>
    <t>Liverpool</t>
  </si>
  <si>
    <t>LDLWW</t>
  </si>
  <si>
    <t>Crystal Palace</t>
  </si>
  <si>
    <t>LWDWD</t>
  </si>
  <si>
    <t>West Ham</t>
  </si>
  <si>
    <t>WDLLD</t>
  </si>
  <si>
    <t>Everton</t>
  </si>
  <si>
    <t>WLWDL</t>
  </si>
  <si>
    <t>Wolves</t>
  </si>
  <si>
    <t>WWDLL</t>
  </si>
  <si>
    <t>Tottenham</t>
  </si>
  <si>
    <t>LDLLD</t>
  </si>
  <si>
    <t>Premier League 2025/26 — Standings</t>
  </si>
  <si>
    <t>Pos</t>
  </si>
  <si>
    <t>Team</t>
  </si>
  <si>
    <t>P</t>
  </si>
  <si>
    <t>W</t>
  </si>
  <si>
    <t>D</t>
  </si>
  <si>
    <t>L</t>
  </si>
  <si>
    <t>GF</t>
  </si>
  <si>
    <t>GA</t>
  </si>
  <si>
    <t>GD</t>
  </si>
  <si>
    <t>Last 5</t>
  </si>
  <si>
    <t>Pts</t>
  </si>
  <si>
    <t>Man City</t>
  </si>
  <si>
    <t>DDWWW</t>
  </si>
  <si>
    <t>Arsenal</t>
  </si>
  <si>
    <t>WWWLL</t>
  </si>
  <si>
    <t>Man Utd</t>
  </si>
  <si>
    <t>LWDLW</t>
  </si>
  <si>
    <t>Brighton</t>
  </si>
  <si>
    <t>WWWDW</t>
  </si>
  <si>
    <t>Bournemouth</t>
  </si>
  <si>
    <t>DDWWD</t>
  </si>
  <si>
    <t>Chelsea</t>
  </si>
  <si>
    <t>LLLLL</t>
  </si>
  <si>
    <t>Brentford</t>
  </si>
  <si>
    <t>DDDDD</t>
  </si>
  <si>
    <t>Newcastle</t>
  </si>
  <si>
    <t>WWLLL</t>
  </si>
  <si>
    <t>Leeds</t>
  </si>
  <si>
    <t>Burnley</t>
  </si>
  <si>
    <t>DLLLL</t>
  </si>
  <si>
    <t>Legend:</t>
  </si>
  <si>
    <t>UCL qualification (1–4)</t>
  </si>
  <si>
    <t>UEL / Conf qualification (5–6)</t>
  </si>
  <si>
    <t>Relegation zone (18–20)</t>
  </si>
  <si>
    <t>Premier League Matchday Data — Notes</t>
  </si>
  <si>
    <t>Source</t>
  </si>
  <si>
    <t>Sofascore (sofascore.com) — scraped via Claude in Chrome</t>
  </si>
  <si>
    <t>Scrape date</t>
  </si>
  <si>
    <t>2026-04-23</t>
  </si>
  <si>
    <t>Standings as of</t>
  </si>
  <si>
    <t>After Apr 23 matches (Burnley 0-1 Man City; Bournemouth 2-2 Leeds)</t>
  </si>
  <si>
    <t>Odds market</t>
  </si>
  <si>
    <t>Full-time 1X2 (pre-match)</t>
  </si>
  <si>
    <t>Implied %</t>
  </si>
  <si>
    <t>1 / decimal odds (does not remove bookmaker margin)</t>
  </si>
  <si>
    <t>Form code</t>
  </si>
  <si>
    <t>W=Win, D=Draw, L=Loss (most recent 5 matches, oldest → newest left-to-right)</t>
  </si>
  <si>
    <t>Favorite rule</t>
  </si>
  <si>
    <t>Team with lowest 1X2 odds; 'Draw' if the draw has lowest odds</t>
  </si>
  <si>
    <t>Away team points minus Home team points (positive = away higher-ranked)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</si>
</sst>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F243E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8CBAD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2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0F24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Normal="100" workbookViewId="0">
      <pane ySplit="2" topLeftCell="A3" activePane="bottomLeft" state="frozen"/>
      <selection pane="bottomLeft" activeCell="P4" sqref="P4"/>
    </sheetView>
  </sheetViews>
  <sheetFormatPr defaultColWidth="8.7109375" defaultRowHeight="15" x14ac:dyDescent="0.25"/>
  <cols>
    <col min="1" max="1" width="16" customWidth="1"/>
    <col min="2" max="2" width="12" customWidth="1"/>
    <col min="3" max="3" width="20" customWidth="1"/>
    <col min="4" max="5" width="7" customWidth="1"/>
    <col min="6" max="6" width="9" customWidth="1"/>
    <col min="7" max="7" width="20" customWidth="1"/>
    <col min="8" max="9" width="7" customWidth="1"/>
    <col min="10" max="10" width="9" customWidth="1"/>
    <col min="11" max="13" width="8" customWidth="1"/>
    <col min="14" max="14" width="12.42578125" bestFit="1" customWidth="1"/>
    <col min="15" max="15" width="12.7109375" bestFit="1" customWidth="1"/>
    <col min="16" max="16" width="12.42578125" bestFit="1" customWidth="1"/>
    <col min="17" max="17" width="20" customWidth="1"/>
    <col min="18" max="18" width="10" customWidth="1"/>
  </cols>
  <sheetData>
    <row r="1" spans="1:18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7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x14ac:dyDescent="0.25">
      <c r="A3" s="4" t="s">
        <v>19</v>
      </c>
      <c r="B3" s="4" t="s">
        <v>20</v>
      </c>
      <c r="C3" s="5" t="s">
        <v>21</v>
      </c>
      <c r="D3" s="4">
        <v>11</v>
      </c>
      <c r="E3" s="4">
        <v>46</v>
      </c>
      <c r="F3" s="4" t="s">
        <v>22</v>
      </c>
      <c r="G3" s="5" t="s">
        <v>23</v>
      </c>
      <c r="H3" s="4">
        <v>16</v>
      </c>
      <c r="I3" s="4">
        <v>36</v>
      </c>
      <c r="J3" s="4" t="s">
        <v>24</v>
      </c>
      <c r="K3" s="6">
        <v>2.8</v>
      </c>
      <c r="L3" s="6">
        <v>3.2</v>
      </c>
      <c r="M3" s="6">
        <v>2.63</v>
      </c>
      <c r="N3" s="7">
        <f t="shared" ref="N3:P7" si="0">1/K3</f>
        <v>0.35714285714285715</v>
      </c>
      <c r="O3" s="7">
        <f t="shared" si="0"/>
        <v>0.3125</v>
      </c>
      <c r="P3" s="7">
        <f t="shared" si="0"/>
        <v>0.38022813688212931</v>
      </c>
      <c r="Q3" s="5" t="str">
        <f>IF(K3=MIN(K3:M3),C3,IF(M3=MIN(K3:M3),G3,"Draw"))</f>
        <v>Nottingham Forest</v>
      </c>
      <c r="R3" s="4">
        <v>-10</v>
      </c>
    </row>
    <row r="4" spans="1:18" x14ac:dyDescent="0.25">
      <c r="A4" s="8" t="s">
        <v>25</v>
      </c>
      <c r="B4" s="8" t="s">
        <v>26</v>
      </c>
      <c r="C4" s="9" t="s">
        <v>27</v>
      </c>
      <c r="D4" s="8">
        <v>12</v>
      </c>
      <c r="E4" s="8">
        <v>45</v>
      </c>
      <c r="F4" s="8" t="s">
        <v>28</v>
      </c>
      <c r="G4" s="9" t="s">
        <v>29</v>
      </c>
      <c r="H4" s="8">
        <v>4</v>
      </c>
      <c r="I4" s="8">
        <v>58</v>
      </c>
      <c r="J4" s="8" t="s">
        <v>30</v>
      </c>
      <c r="K4" s="10">
        <v>2.7</v>
      </c>
      <c r="L4" s="10">
        <v>3.6</v>
      </c>
      <c r="M4" s="10">
        <v>2.5</v>
      </c>
      <c r="N4" s="11">
        <f t="shared" si="0"/>
        <v>0.37037037037037035</v>
      </c>
      <c r="O4" s="11">
        <f t="shared" si="0"/>
        <v>0.27777777777777779</v>
      </c>
      <c r="P4" s="11">
        <f t="shared" si="0"/>
        <v>0.4</v>
      </c>
      <c r="Q4" s="9" t="str">
        <f>IF(K4=MIN(K4:M4),C4,IF(M4=MIN(K4:M4),G4,"Draw"))</f>
        <v>Aston Villa</v>
      </c>
      <c r="R4" s="8">
        <v>13</v>
      </c>
    </row>
    <row r="5" spans="1:18" x14ac:dyDescent="0.25">
      <c r="A5" s="4" t="s">
        <v>25</v>
      </c>
      <c r="B5" s="4" t="s">
        <v>31</v>
      </c>
      <c r="C5" s="5" t="s">
        <v>32</v>
      </c>
      <c r="D5" s="4">
        <v>5</v>
      </c>
      <c r="E5" s="4">
        <v>55</v>
      </c>
      <c r="F5" s="4" t="s">
        <v>33</v>
      </c>
      <c r="G5" s="5" t="s">
        <v>34</v>
      </c>
      <c r="H5" s="4">
        <v>13</v>
      </c>
      <c r="I5" s="4">
        <v>43</v>
      </c>
      <c r="J5" s="4" t="s">
        <v>35</v>
      </c>
      <c r="K5" s="6">
        <v>1.44</v>
      </c>
      <c r="L5" s="6">
        <v>5</v>
      </c>
      <c r="M5" s="6">
        <v>6.25</v>
      </c>
      <c r="N5" s="7">
        <f t="shared" si="0"/>
        <v>0.69444444444444442</v>
      </c>
      <c r="O5" s="7">
        <f t="shared" si="0"/>
        <v>0.2</v>
      </c>
      <c r="P5" s="7">
        <f t="shared" si="0"/>
        <v>0.16</v>
      </c>
      <c r="Q5" s="5" t="str">
        <f>IF(K5=MIN(K5:M5),C5,IF(M5=MIN(K5:M5),G5,"Draw"))</f>
        <v>Liverpool</v>
      </c>
      <c r="R5" s="4">
        <v>-12</v>
      </c>
    </row>
    <row r="6" spans="1:18" x14ac:dyDescent="0.25">
      <c r="A6" s="8" t="s">
        <v>25</v>
      </c>
      <c r="B6" s="8" t="s">
        <v>31</v>
      </c>
      <c r="C6" s="9" t="s">
        <v>36</v>
      </c>
      <c r="D6" s="8">
        <v>17</v>
      </c>
      <c r="E6" s="8">
        <v>33</v>
      </c>
      <c r="F6" s="8" t="s">
        <v>37</v>
      </c>
      <c r="G6" s="9" t="s">
        <v>38</v>
      </c>
      <c r="H6" s="8">
        <v>10</v>
      </c>
      <c r="I6" s="8">
        <v>47</v>
      </c>
      <c r="J6" s="8" t="s">
        <v>39</v>
      </c>
      <c r="K6" s="10">
        <v>2.4</v>
      </c>
      <c r="L6" s="10">
        <v>3.4</v>
      </c>
      <c r="M6" s="10">
        <v>2.9</v>
      </c>
      <c r="N6" s="11">
        <f t="shared" si="0"/>
        <v>0.41666666666666669</v>
      </c>
      <c r="O6" s="11">
        <f t="shared" si="0"/>
        <v>0.29411764705882354</v>
      </c>
      <c r="P6" s="11">
        <f t="shared" si="0"/>
        <v>0.34482758620689657</v>
      </c>
      <c r="Q6" s="9" t="str">
        <f>IF(K6=MIN(K6:M6),C6,IF(M6=MIN(K6:M6),G6,"Draw"))</f>
        <v>West Ham</v>
      </c>
      <c r="R6" s="8">
        <v>14</v>
      </c>
    </row>
    <row r="7" spans="1:18" x14ac:dyDescent="0.25">
      <c r="A7" s="4" t="s">
        <v>25</v>
      </c>
      <c r="B7" s="4" t="s">
        <v>31</v>
      </c>
      <c r="C7" s="5" t="s">
        <v>40</v>
      </c>
      <c r="D7" s="4">
        <v>20</v>
      </c>
      <c r="E7" s="4">
        <v>17</v>
      </c>
      <c r="F7" s="4" t="s">
        <v>41</v>
      </c>
      <c r="G7" s="5" t="s">
        <v>42</v>
      </c>
      <c r="H7" s="4">
        <v>18</v>
      </c>
      <c r="I7" s="4">
        <v>31</v>
      </c>
      <c r="J7" s="4" t="s">
        <v>43</v>
      </c>
      <c r="K7" s="6">
        <v>4.2</v>
      </c>
      <c r="L7" s="6">
        <v>4.33</v>
      </c>
      <c r="M7" s="6">
        <v>1.73</v>
      </c>
      <c r="N7" s="7">
        <f t="shared" si="0"/>
        <v>0.23809523809523808</v>
      </c>
      <c r="O7" s="7">
        <f t="shared" si="0"/>
        <v>0.23094688221709006</v>
      </c>
      <c r="P7" s="7">
        <f t="shared" si="0"/>
        <v>0.5780346820809249</v>
      </c>
      <c r="Q7" s="5" t="str">
        <f>IF(K7=MIN(K7:M7),C7,IF(M7=MIN(K7:M7),G7,"Draw"))</f>
        <v>Tottenham</v>
      </c>
      <c r="R7" s="4">
        <v>14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22" customWidth="1"/>
    <col min="3" max="9" width="7" customWidth="1"/>
    <col min="10" max="10" width="10" customWidth="1"/>
    <col min="11" max="11" width="7" customWidth="1"/>
  </cols>
  <sheetData>
    <row r="1" spans="1:11" ht="24" customHeight="1" x14ac:dyDescent="0.25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.75" customHeight="1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</row>
    <row r="3" spans="1:11" x14ac:dyDescent="0.25">
      <c r="A3" s="12">
        <v>1</v>
      </c>
      <c r="B3" s="5" t="s">
        <v>56</v>
      </c>
      <c r="C3" s="4">
        <v>33</v>
      </c>
      <c r="D3" s="4">
        <v>21</v>
      </c>
      <c r="E3" s="4">
        <v>7</v>
      </c>
      <c r="F3" s="4">
        <v>5</v>
      </c>
      <c r="G3" s="4">
        <v>66</v>
      </c>
      <c r="H3" s="4">
        <v>29</v>
      </c>
      <c r="I3" s="4">
        <v>37</v>
      </c>
      <c r="J3" s="4" t="s">
        <v>57</v>
      </c>
      <c r="K3" s="4">
        <v>70</v>
      </c>
    </row>
    <row r="4" spans="1:11" x14ac:dyDescent="0.25">
      <c r="A4" s="12">
        <v>2</v>
      </c>
      <c r="B4" s="5" t="s">
        <v>58</v>
      </c>
      <c r="C4" s="4">
        <v>33</v>
      </c>
      <c r="D4" s="4">
        <v>21</v>
      </c>
      <c r="E4" s="4">
        <v>7</v>
      </c>
      <c r="F4" s="4">
        <v>5</v>
      </c>
      <c r="G4" s="4">
        <v>63</v>
      </c>
      <c r="H4" s="4">
        <v>26</v>
      </c>
      <c r="I4" s="4">
        <v>37</v>
      </c>
      <c r="J4" s="4" t="s">
        <v>59</v>
      </c>
      <c r="K4" s="4">
        <v>70</v>
      </c>
    </row>
    <row r="5" spans="1:11" x14ac:dyDescent="0.25">
      <c r="A5" s="12">
        <v>3</v>
      </c>
      <c r="B5" s="5" t="s">
        <v>60</v>
      </c>
      <c r="C5" s="4">
        <v>33</v>
      </c>
      <c r="D5" s="4">
        <v>16</v>
      </c>
      <c r="E5" s="4">
        <v>10</v>
      </c>
      <c r="F5" s="4">
        <v>7</v>
      </c>
      <c r="G5" s="4">
        <v>58</v>
      </c>
      <c r="H5" s="4">
        <v>45</v>
      </c>
      <c r="I5" s="4">
        <v>13</v>
      </c>
      <c r="J5" s="4" t="s">
        <v>61</v>
      </c>
      <c r="K5" s="4">
        <v>58</v>
      </c>
    </row>
    <row r="6" spans="1:11" x14ac:dyDescent="0.25">
      <c r="A6" s="12">
        <v>4</v>
      </c>
      <c r="B6" s="5" t="s">
        <v>29</v>
      </c>
      <c r="C6" s="4">
        <v>33</v>
      </c>
      <c r="D6" s="4">
        <v>17</v>
      </c>
      <c r="E6" s="4">
        <v>7</v>
      </c>
      <c r="F6" s="4">
        <v>9</v>
      </c>
      <c r="G6" s="4">
        <v>47</v>
      </c>
      <c r="H6" s="4">
        <v>41</v>
      </c>
      <c r="I6" s="4">
        <v>6</v>
      </c>
      <c r="J6" s="4" t="s">
        <v>30</v>
      </c>
      <c r="K6" s="4">
        <v>58</v>
      </c>
    </row>
    <row r="7" spans="1:11" x14ac:dyDescent="0.25">
      <c r="A7" s="13">
        <v>5</v>
      </c>
      <c r="B7" s="5" t="s">
        <v>32</v>
      </c>
      <c r="C7" s="4">
        <v>33</v>
      </c>
      <c r="D7" s="4">
        <v>16</v>
      </c>
      <c r="E7" s="4">
        <v>7</v>
      </c>
      <c r="F7" s="4">
        <v>10</v>
      </c>
      <c r="G7" s="4">
        <v>54</v>
      </c>
      <c r="H7" s="4">
        <v>43</v>
      </c>
      <c r="I7" s="4">
        <v>11</v>
      </c>
      <c r="J7" s="4" t="s">
        <v>33</v>
      </c>
      <c r="K7" s="4">
        <v>55</v>
      </c>
    </row>
    <row r="8" spans="1:11" x14ac:dyDescent="0.25">
      <c r="A8" s="13">
        <v>6</v>
      </c>
      <c r="B8" s="5" t="s">
        <v>62</v>
      </c>
      <c r="C8" s="4">
        <v>34</v>
      </c>
      <c r="D8" s="4">
        <v>13</v>
      </c>
      <c r="E8" s="4">
        <v>11</v>
      </c>
      <c r="F8" s="4">
        <v>10</v>
      </c>
      <c r="G8" s="4">
        <v>48</v>
      </c>
      <c r="H8" s="4">
        <v>39</v>
      </c>
      <c r="I8" s="4">
        <v>9</v>
      </c>
      <c r="J8" s="4" t="s">
        <v>63</v>
      </c>
      <c r="K8" s="4">
        <v>50</v>
      </c>
    </row>
    <row r="9" spans="1:11" x14ac:dyDescent="0.25">
      <c r="A9" s="4">
        <v>7</v>
      </c>
      <c r="B9" s="5" t="s">
        <v>64</v>
      </c>
      <c r="C9" s="4">
        <v>34</v>
      </c>
      <c r="D9" s="4">
        <v>11</v>
      </c>
      <c r="E9" s="4">
        <v>16</v>
      </c>
      <c r="F9" s="4">
        <v>7</v>
      </c>
      <c r="G9" s="4">
        <v>52</v>
      </c>
      <c r="H9" s="4">
        <v>52</v>
      </c>
      <c r="I9" s="4">
        <v>0</v>
      </c>
      <c r="J9" s="4" t="s">
        <v>65</v>
      </c>
      <c r="K9" s="4">
        <v>49</v>
      </c>
    </row>
    <row r="10" spans="1:11" x14ac:dyDescent="0.25">
      <c r="A10" s="4">
        <v>8</v>
      </c>
      <c r="B10" s="5" t="s">
        <v>66</v>
      </c>
      <c r="C10" s="4">
        <v>34</v>
      </c>
      <c r="D10" s="4">
        <v>13</v>
      </c>
      <c r="E10" s="4">
        <v>9</v>
      </c>
      <c r="F10" s="4">
        <v>12</v>
      </c>
      <c r="G10" s="4">
        <v>53</v>
      </c>
      <c r="H10" s="4">
        <v>45</v>
      </c>
      <c r="I10" s="4">
        <v>8</v>
      </c>
      <c r="J10" s="4" t="s">
        <v>67</v>
      </c>
      <c r="K10" s="4">
        <v>48</v>
      </c>
    </row>
    <row r="11" spans="1:11" x14ac:dyDescent="0.25">
      <c r="A11" s="4">
        <v>9</v>
      </c>
      <c r="B11" s="5" t="s">
        <v>68</v>
      </c>
      <c r="C11" s="4">
        <v>33</v>
      </c>
      <c r="D11" s="4">
        <v>13</v>
      </c>
      <c r="E11" s="4">
        <v>9</v>
      </c>
      <c r="F11" s="4">
        <v>11</v>
      </c>
      <c r="G11" s="4">
        <v>48</v>
      </c>
      <c r="H11" s="4">
        <v>44</v>
      </c>
      <c r="I11" s="4">
        <v>4</v>
      </c>
      <c r="J11" s="4" t="s">
        <v>69</v>
      </c>
      <c r="K11" s="4">
        <v>48</v>
      </c>
    </row>
    <row r="12" spans="1:11" x14ac:dyDescent="0.25">
      <c r="A12" s="4">
        <v>10</v>
      </c>
      <c r="B12" s="5" t="s">
        <v>38</v>
      </c>
      <c r="C12" s="4">
        <v>33</v>
      </c>
      <c r="D12" s="4">
        <v>13</v>
      </c>
      <c r="E12" s="4">
        <v>8</v>
      </c>
      <c r="F12" s="4">
        <v>12</v>
      </c>
      <c r="G12" s="4">
        <v>40</v>
      </c>
      <c r="H12" s="4">
        <v>39</v>
      </c>
      <c r="I12" s="4">
        <v>1</v>
      </c>
      <c r="J12" s="4" t="s">
        <v>39</v>
      </c>
      <c r="K12" s="4">
        <v>47</v>
      </c>
    </row>
    <row r="13" spans="1:11" x14ac:dyDescent="0.25">
      <c r="A13" s="4">
        <v>11</v>
      </c>
      <c r="B13" s="5" t="s">
        <v>21</v>
      </c>
      <c r="C13" s="4">
        <v>33</v>
      </c>
      <c r="D13" s="4">
        <v>12</v>
      </c>
      <c r="E13" s="4">
        <v>10</v>
      </c>
      <c r="F13" s="4">
        <v>11</v>
      </c>
      <c r="G13" s="4">
        <v>36</v>
      </c>
      <c r="H13" s="4">
        <v>40</v>
      </c>
      <c r="I13" s="4">
        <v>-4</v>
      </c>
      <c r="J13" s="4" t="s">
        <v>22</v>
      </c>
      <c r="K13" s="4">
        <v>46</v>
      </c>
    </row>
    <row r="14" spans="1:11" x14ac:dyDescent="0.25">
      <c r="A14" s="4">
        <v>12</v>
      </c>
      <c r="B14" s="5" t="s">
        <v>27</v>
      </c>
      <c r="C14" s="4">
        <v>33</v>
      </c>
      <c r="D14" s="4">
        <v>13</v>
      </c>
      <c r="E14" s="4">
        <v>6</v>
      </c>
      <c r="F14" s="4">
        <v>14</v>
      </c>
      <c r="G14" s="4">
        <v>43</v>
      </c>
      <c r="H14" s="4">
        <v>46</v>
      </c>
      <c r="I14" s="4">
        <v>-3</v>
      </c>
      <c r="J14" s="4" t="s">
        <v>28</v>
      </c>
      <c r="K14" s="4">
        <v>45</v>
      </c>
    </row>
    <row r="15" spans="1:11" x14ac:dyDescent="0.25">
      <c r="A15" s="4">
        <v>13</v>
      </c>
      <c r="B15" s="5" t="s">
        <v>34</v>
      </c>
      <c r="C15" s="4">
        <v>32</v>
      </c>
      <c r="D15" s="4">
        <v>11</v>
      </c>
      <c r="E15" s="4">
        <v>10</v>
      </c>
      <c r="F15" s="4">
        <v>11</v>
      </c>
      <c r="G15" s="4">
        <v>35</v>
      </c>
      <c r="H15" s="4">
        <v>36</v>
      </c>
      <c r="I15" s="4">
        <v>-1</v>
      </c>
      <c r="J15" s="4" t="s">
        <v>35</v>
      </c>
      <c r="K15" s="4">
        <v>43</v>
      </c>
    </row>
    <row r="16" spans="1:11" x14ac:dyDescent="0.25">
      <c r="A16" s="4">
        <v>14</v>
      </c>
      <c r="B16" s="5" t="s">
        <v>70</v>
      </c>
      <c r="C16" s="4">
        <v>33</v>
      </c>
      <c r="D16" s="4">
        <v>12</v>
      </c>
      <c r="E16" s="4">
        <v>6</v>
      </c>
      <c r="F16" s="4">
        <v>15</v>
      </c>
      <c r="G16" s="4">
        <v>46</v>
      </c>
      <c r="H16" s="4">
        <v>49</v>
      </c>
      <c r="I16" s="4">
        <v>-3</v>
      </c>
      <c r="J16" s="4" t="s">
        <v>71</v>
      </c>
      <c r="K16" s="4">
        <v>42</v>
      </c>
    </row>
    <row r="17" spans="1:11" x14ac:dyDescent="0.25">
      <c r="A17" s="4">
        <v>15</v>
      </c>
      <c r="B17" s="5" t="s">
        <v>72</v>
      </c>
      <c r="C17" s="4">
        <v>34</v>
      </c>
      <c r="D17" s="4">
        <v>9</v>
      </c>
      <c r="E17" s="4">
        <v>13</v>
      </c>
      <c r="F17" s="4">
        <v>12</v>
      </c>
      <c r="G17" s="4">
        <v>44</v>
      </c>
      <c r="H17" s="4">
        <v>51</v>
      </c>
      <c r="I17" s="4">
        <v>-7</v>
      </c>
      <c r="J17" s="4" t="s">
        <v>65</v>
      </c>
      <c r="K17" s="4">
        <v>40</v>
      </c>
    </row>
    <row r="18" spans="1:11" x14ac:dyDescent="0.25">
      <c r="A18" s="4">
        <v>16</v>
      </c>
      <c r="B18" s="5" t="s">
        <v>23</v>
      </c>
      <c r="C18" s="4">
        <v>33</v>
      </c>
      <c r="D18" s="4">
        <v>9</v>
      </c>
      <c r="E18" s="4">
        <v>9</v>
      </c>
      <c r="F18" s="4">
        <v>15</v>
      </c>
      <c r="G18" s="4">
        <v>36</v>
      </c>
      <c r="H18" s="4">
        <v>45</v>
      </c>
      <c r="I18" s="4">
        <v>-9</v>
      </c>
      <c r="J18" s="4" t="s">
        <v>24</v>
      </c>
      <c r="K18" s="4">
        <v>36</v>
      </c>
    </row>
    <row r="19" spans="1:11" x14ac:dyDescent="0.25">
      <c r="A19" s="4">
        <v>17</v>
      </c>
      <c r="B19" s="5" t="s">
        <v>36</v>
      </c>
      <c r="C19" s="4">
        <v>33</v>
      </c>
      <c r="D19" s="4">
        <v>8</v>
      </c>
      <c r="E19" s="4">
        <v>9</v>
      </c>
      <c r="F19" s="4">
        <v>16</v>
      </c>
      <c r="G19" s="4">
        <v>40</v>
      </c>
      <c r="H19" s="4">
        <v>57</v>
      </c>
      <c r="I19" s="4">
        <v>-17</v>
      </c>
      <c r="J19" s="4" t="s">
        <v>37</v>
      </c>
      <c r="K19" s="4">
        <v>33</v>
      </c>
    </row>
    <row r="20" spans="1:11" x14ac:dyDescent="0.25">
      <c r="A20" s="14">
        <v>18</v>
      </c>
      <c r="B20" s="5" t="s">
        <v>42</v>
      </c>
      <c r="C20" s="4">
        <v>33</v>
      </c>
      <c r="D20" s="4">
        <v>7</v>
      </c>
      <c r="E20" s="4">
        <v>10</v>
      </c>
      <c r="F20" s="4">
        <v>16</v>
      </c>
      <c r="G20" s="4">
        <v>42</v>
      </c>
      <c r="H20" s="4">
        <v>53</v>
      </c>
      <c r="I20" s="4">
        <v>-11</v>
      </c>
      <c r="J20" s="4" t="s">
        <v>43</v>
      </c>
      <c r="K20" s="4">
        <v>31</v>
      </c>
    </row>
    <row r="21" spans="1:11" x14ac:dyDescent="0.25">
      <c r="A21" s="14">
        <v>19</v>
      </c>
      <c r="B21" s="5" t="s">
        <v>73</v>
      </c>
      <c r="C21" s="4">
        <v>34</v>
      </c>
      <c r="D21" s="4">
        <v>4</v>
      </c>
      <c r="E21" s="4">
        <v>8</v>
      </c>
      <c r="F21" s="4">
        <v>22</v>
      </c>
      <c r="G21" s="4">
        <v>34</v>
      </c>
      <c r="H21" s="4">
        <v>68</v>
      </c>
      <c r="I21" s="4">
        <v>-34</v>
      </c>
      <c r="J21" s="4" t="s">
        <v>74</v>
      </c>
      <c r="K21" s="4">
        <v>20</v>
      </c>
    </row>
    <row r="22" spans="1:11" x14ac:dyDescent="0.25">
      <c r="A22" s="14">
        <v>20</v>
      </c>
      <c r="B22" s="5" t="s">
        <v>40</v>
      </c>
      <c r="C22" s="4">
        <v>33</v>
      </c>
      <c r="D22" s="4">
        <v>3</v>
      </c>
      <c r="E22" s="4">
        <v>8</v>
      </c>
      <c r="F22" s="4">
        <v>22</v>
      </c>
      <c r="G22" s="4">
        <v>24</v>
      </c>
      <c r="H22" s="4">
        <v>61</v>
      </c>
      <c r="I22" s="4">
        <v>-37</v>
      </c>
      <c r="J22" s="4" t="s">
        <v>41</v>
      </c>
      <c r="K22" s="4">
        <v>17</v>
      </c>
    </row>
    <row r="25" spans="1:11" x14ac:dyDescent="0.25">
      <c r="A25" s="15" t="s">
        <v>75</v>
      </c>
      <c r="B25" s="16" t="s">
        <v>76</v>
      </c>
    </row>
    <row r="26" spans="1:11" x14ac:dyDescent="0.25">
      <c r="B26" s="17" t="s">
        <v>77</v>
      </c>
    </row>
    <row r="27" spans="1:11" x14ac:dyDescent="0.25">
      <c r="B27" s="18" t="s">
        <v>78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90" customWidth="1"/>
  </cols>
  <sheetData>
    <row r="1" spans="1:4" ht="18" x14ac:dyDescent="0.25">
      <c r="A1" s="1" t="s">
        <v>79</v>
      </c>
      <c r="B1" s="1"/>
      <c r="C1" s="1"/>
      <c r="D1" s="1"/>
    </row>
    <row r="3" spans="1:4" x14ac:dyDescent="0.25">
      <c r="A3" s="15" t="s">
        <v>80</v>
      </c>
      <c r="B3" s="19" t="s">
        <v>81</v>
      </c>
    </row>
    <row r="4" spans="1:4" x14ac:dyDescent="0.25">
      <c r="A4" s="15" t="s">
        <v>82</v>
      </c>
      <c r="B4" s="19" t="s">
        <v>83</v>
      </c>
    </row>
    <row r="5" spans="1:4" x14ac:dyDescent="0.25">
      <c r="A5" s="15" t="s">
        <v>84</v>
      </c>
      <c r="B5" s="19" t="s">
        <v>85</v>
      </c>
    </row>
    <row r="6" spans="1:4" x14ac:dyDescent="0.25">
      <c r="A6" s="15" t="s">
        <v>86</v>
      </c>
      <c r="B6" s="19" t="s">
        <v>87</v>
      </c>
    </row>
    <row r="7" spans="1:4" x14ac:dyDescent="0.25">
      <c r="A7" s="15" t="s">
        <v>88</v>
      </c>
      <c r="B7" s="19" t="s">
        <v>89</v>
      </c>
    </row>
    <row r="8" spans="1:4" x14ac:dyDescent="0.25">
      <c r="A8" s="15" t="s">
        <v>90</v>
      </c>
      <c r="B8" s="19" t="s">
        <v>91</v>
      </c>
    </row>
    <row r="9" spans="1:4" x14ac:dyDescent="0.25">
      <c r="A9" s="15" t="s">
        <v>92</v>
      </c>
      <c r="B9" s="19" t="s">
        <v>93</v>
      </c>
    </row>
    <row r="10" spans="1:4" x14ac:dyDescent="0.25">
      <c r="A10" s="15" t="s">
        <v>18</v>
      </c>
      <c r="B10" s="19" t="s">
        <v>94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Fixtures</vt:lpstr>
      <vt:lpstr>Standings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Khountavanh Vorabouth</cp:lastModifiedBy>
  <cp:revision>0</cp:revision>
  <dcterms:created xsi:type="dcterms:W3CDTF">2026-04-23T08:40:57Z</dcterms:created>
  <dcterms:modified xsi:type="dcterms:W3CDTF">2026-04-23T08:41:53Z</dcterms:modified>
  <dc:language>en-US</dc:language>
</cp:coreProperties>
</file>